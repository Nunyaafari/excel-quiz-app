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kwame/Downloads/"/>
    </mc:Choice>
  </mc:AlternateContent>
  <xr:revisionPtr revIDLastSave="0" documentId="13_ncr:1_{BC975D70-36C5-D442-818A-B798291949E9}" xr6:coauthVersionLast="47" xr6:coauthVersionMax="47" xr10:uidLastSave="{00000000-0000-0000-0000-000000000000}"/>
  <bookViews>
    <workbookView xWindow="0" yWindow="500" windowWidth="27320" windowHeight="14860" xr2:uid="{00000000-000D-0000-FFFF-FFFF00000000}"/>
  </bookViews>
  <sheets>
    <sheet name="Read Me" sheetId="1" r:id="rId1"/>
    <sheet name="Monthly Budget" sheetId="2" r:id="rId2"/>
    <sheet name="Weekly Tracker" sheetId="3" r:id="rId3"/>
    <sheet name="Savings Goals" sheetId="4" r:id="rId4"/>
    <sheet name="Debt Planner" sheetId="5" r:id="rId5"/>
    <sheet name="Annual Overview" sheetId="6" r:id="rId6"/>
    <sheet name="Lis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H8" i="3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M7" i="6"/>
  <c r="L7" i="6"/>
  <c r="K7" i="6"/>
  <c r="J7" i="6"/>
  <c r="I7" i="6"/>
  <c r="H7" i="6"/>
  <c r="G7" i="6"/>
  <c r="F7" i="6"/>
  <c r="E7" i="6"/>
  <c r="D7" i="6"/>
  <c r="C7" i="6"/>
  <c r="B7" i="6"/>
  <c r="N6" i="6"/>
  <c r="N5" i="6"/>
  <c r="H10" i="5"/>
  <c r="F10" i="5"/>
  <c r="E10" i="5"/>
  <c r="D10" i="5"/>
  <c r="B10" i="5"/>
  <c r="H8" i="5"/>
  <c r="G8" i="5"/>
  <c r="F8" i="5"/>
  <c r="H7" i="5"/>
  <c r="G7" i="5"/>
  <c r="F7" i="5"/>
  <c r="H6" i="5"/>
  <c r="G6" i="5"/>
  <c r="G10" i="5" s="1"/>
  <c r="F6" i="5"/>
  <c r="H5" i="5"/>
  <c r="G5" i="5"/>
  <c r="F5" i="5"/>
  <c r="G8" i="4"/>
  <c r="F8" i="4"/>
  <c r="D8" i="4"/>
  <c r="G7" i="4"/>
  <c r="F7" i="4"/>
  <c r="D7" i="4"/>
  <c r="G6" i="4"/>
  <c r="F6" i="4"/>
  <c r="D6" i="4"/>
  <c r="G5" i="4"/>
  <c r="F5" i="4"/>
  <c r="D5" i="4"/>
  <c r="H18" i="3"/>
  <c r="H17" i="3"/>
  <c r="H16" i="3"/>
  <c r="H15" i="3"/>
  <c r="H14" i="3"/>
  <c r="H13" i="3"/>
  <c r="H10" i="3"/>
  <c r="H7" i="3"/>
  <c r="E15" i="2"/>
  <c r="B11" i="2"/>
  <c r="H10" i="2"/>
  <c r="H9" i="2"/>
  <c r="H8" i="2"/>
  <c r="H7" i="2"/>
</calcChain>
</file>

<file path=xl/sharedStrings.xml><?xml version="1.0" encoding="utf-8"?>
<sst xmlns="http://schemas.openxmlformats.org/spreadsheetml/2006/main" count="132" uniqueCount="109">
  <si>
    <t>Free Excel Budget Template Pack</t>
  </si>
  <si>
    <t>What is included</t>
  </si>
  <si>
    <t>• Monthly Budget Planner - track income, expenses, savings, and net balance</t>
  </si>
  <si>
    <t>• Weekly Expense Tracker - log day-to-day spending with category summaries</t>
  </si>
  <si>
    <t>• Savings Goal Tracker - monitor progress toward multiple savings goals</t>
  </si>
  <si>
    <t>• Debt Payoff Planner - compare balances, payments, and estimated payoff months</t>
  </si>
  <si>
    <t>• Annual Budget Overview - plan each month and compare totals across the year</t>
  </si>
  <si>
    <t>How to use</t>
  </si>
  <si>
    <t>1. Enter values only in light-blue cells.</t>
  </si>
  <si>
    <t>2. Black text cells contain formulas and update automatically.</t>
  </si>
  <si>
    <t>3. Duplicate sheets if you want separate files for different months or years.</t>
  </si>
  <si>
    <t>4. Customize the categories list on the Monthly Budget and Weekly Tracker sheets.</t>
  </si>
  <si>
    <t>Monthly Budget Planner</t>
  </si>
  <si>
    <t>Month</t>
  </si>
  <si>
    <t>January</t>
  </si>
  <si>
    <t>Starting Balance</t>
  </si>
  <si>
    <t>Income</t>
  </si>
  <si>
    <t>Expenses</t>
  </si>
  <si>
    <t>Summary</t>
  </si>
  <si>
    <t>Source</t>
  </si>
  <si>
    <t>Amount</t>
  </si>
  <si>
    <t>Category</t>
  </si>
  <si>
    <t>Metric</t>
  </si>
  <si>
    <t>Value</t>
  </si>
  <si>
    <t>Salary</t>
  </si>
  <si>
    <t>Housing</t>
  </si>
  <si>
    <t>Total Income</t>
  </si>
  <si>
    <t>Freelance</t>
  </si>
  <si>
    <t>Utilities</t>
  </si>
  <si>
    <t>Total Expenses</t>
  </si>
  <si>
    <t>Business</t>
  </si>
  <si>
    <t>Groceries</t>
  </si>
  <si>
    <t>Savings / Surplus</t>
  </si>
  <si>
    <t>Other</t>
  </si>
  <si>
    <t>Transport</t>
  </si>
  <si>
    <t>Ending Balance</t>
  </si>
  <si>
    <t>Insurance</t>
  </si>
  <si>
    <t>Debt</t>
  </si>
  <si>
    <t>Entertainment</t>
  </si>
  <si>
    <t>Miscellaneous</t>
  </si>
  <si>
    <t>Weekly Expense Tracker</t>
  </si>
  <si>
    <t>Week Starting</t>
  </si>
  <si>
    <t>2026-01-05</t>
  </si>
  <si>
    <t>Budget Limit</t>
  </si>
  <si>
    <t>Date</t>
  </si>
  <si>
    <t>Description</t>
  </si>
  <si>
    <t>Payment Method</t>
  </si>
  <si>
    <t>Tracker Summary</t>
  </si>
  <si>
    <t>Total Spent</t>
  </si>
  <si>
    <t>Remaining</t>
  </si>
  <si>
    <t>Largest Purchase</t>
  </si>
  <si>
    <t>Total</t>
  </si>
  <si>
    <t>Food</t>
  </si>
  <si>
    <t>Bills</t>
  </si>
  <si>
    <t>Shopping</t>
  </si>
  <si>
    <t>Savings Goal Tracker</t>
  </si>
  <si>
    <t>Goal</t>
  </si>
  <si>
    <t>Target Amount</t>
  </si>
  <si>
    <t>Saved So Far</t>
  </si>
  <si>
    <t>Deadline</t>
  </si>
  <si>
    <t>Progress</t>
  </si>
  <si>
    <t>Monthly Needed</t>
  </si>
  <si>
    <t>Emergency Fund</t>
  </si>
  <si>
    <t>2026-12-31</t>
  </si>
  <si>
    <t>Vacation</t>
  </si>
  <si>
    <t>2026-09-30</t>
  </si>
  <si>
    <t>Laptop</t>
  </si>
  <si>
    <t>2026-08-31</t>
  </si>
  <si>
    <t>Home Deposit</t>
  </si>
  <si>
    <t>2027-06-30</t>
  </si>
  <si>
    <t>Debt Payoff Planner</t>
  </si>
  <si>
    <t>Debt Name</t>
  </si>
  <si>
    <t>Balance</t>
  </si>
  <si>
    <t>APR</t>
  </si>
  <si>
    <t>Min Payment</t>
  </si>
  <si>
    <t>Extra Payment</t>
  </si>
  <si>
    <t>Total Monthly Pay</t>
  </si>
  <si>
    <t>Est. Months Left</t>
  </si>
  <si>
    <t>Interest / Month</t>
  </si>
  <si>
    <t>Credit Card 1</t>
  </si>
  <si>
    <t>Student Loan</t>
  </si>
  <si>
    <t>Car Loan</t>
  </si>
  <si>
    <t>Store Card</t>
  </si>
  <si>
    <t>Annual Budget Overview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</si>
  <si>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</si>
  <si>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</si>
  <si>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</si>
  <si>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</si>
  <si>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</si>
  <si>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</si>
  <si>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</si>
  <si>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</si>
  <si>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</si>
  <si>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</si>
  <si>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</si>
  <si>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</si>
  <si>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 Total</t>
  </si>
  <si>
    <t>Savings</t>
  </si>
  <si>
    <t>Net</t>
  </si>
  <si>
    <t>Cash</t>
  </si>
  <si>
    <t>Card</t>
  </si>
  <si>
    <t>Transfer</t>
  </si>
  <si>
    <t>Mobile Money</t>
  </si>
  <si>
    <t>Email:</t>
  </si>
  <si>
    <t>Tel:</t>
  </si>
  <si>
    <t>+233558358446</t>
  </si>
  <si>
    <t>Linkedin:</t>
  </si>
  <si>
    <t xml:space="preserve"> Nunya Afari Kwame | LinkedIn</t>
  </si>
  <si>
    <t>afari.nunya@gmail.com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</si>
</sst>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\(\$#,##0\);\-"/>
    <numFmt numFmtId="165" formatCode="dd\-mmm\-yyyy"/>
    <numFmt numFmtId="166" formatCode="dd\-mmm"/>
    <numFmt numFmtId="167" formatCode="0.0%"/>
    <numFmt numFmtId="168" formatCode="#,##0;[Red]\(#,##0\);\-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2"/>
      <color rgb="FF1F4E78"/>
      <name val="Calibri"/>
      <family val="2"/>
    </font>
    <font>
      <i/>
      <sz val="11"/>
      <color rgb="FF666666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6FB"/>
      </patternFill>
    </fill>
    <fill>
      <patternFill patternType="solid">
        <fgColor rgb="FFE7E6E6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/>
      <top style="medium">
        <color rgb="FF1F4E78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164" fontId="5" fillId="3" borderId="0" xfId="0" applyNumberFormat="1" applyFont="1" applyFill="1"/>
    <xf numFmtId="0" fontId="6" fillId="2" borderId="0" xfId="0" applyFont="1" applyFill="1"/>
    <xf numFmtId="0" fontId="7" fillId="4" borderId="1" xfId="0" applyFont="1" applyFill="1" applyBorder="1" applyAlignment="1">
      <alignment horizontal="center" vertical="center"/>
    </xf>
    <xf numFmtId="164" fontId="9" fillId="0" borderId="0" xfId="0" applyNumberFormat="1" applyFont="1"/>
    <xf numFmtId="0" fontId="8" fillId="0" borderId="0" xfId="0" applyFont="1"/>
    <xf numFmtId="164" fontId="8" fillId="0" borderId="0" xfId="0" applyNumberFormat="1" applyFont="1"/>
    <xf numFmtId="0" fontId="8" fillId="0" borderId="2" xfId="0" applyFont="1" applyBorder="1"/>
    <xf numFmtId="164" fontId="9" fillId="0" borderId="2" xfId="0" applyNumberFormat="1" applyFont="1" applyBorder="1"/>
    <xf numFmtId="165" fontId="5" fillId="3" borderId="0" xfId="0" applyNumberFormat="1" applyFont="1" applyFill="1"/>
    <xf numFmtId="166" fontId="5" fillId="3" borderId="0" xfId="0" applyNumberFormat="1" applyFont="1" applyFill="1"/>
    <xf numFmtId="0" fontId="7" fillId="5" borderId="1" xfId="0" applyFont="1" applyFill="1" applyBorder="1" applyAlignment="1">
      <alignment horizontal="center" vertical="center"/>
    </xf>
    <xf numFmtId="167" fontId="9" fillId="0" borderId="0" xfId="0" applyNumberFormat="1" applyFont="1"/>
    <xf numFmtId="167" fontId="5" fillId="3" borderId="0" xfId="0" applyNumberFormat="1" applyFont="1" applyFill="1"/>
    <xf numFmtId="168" fontId="9" fillId="0" borderId="0" xfId="0" applyNumberFormat="1" applyFont="1"/>
    <xf numFmtId="164" fontId="8" fillId="0" borderId="2" xfId="0" applyNumberFormat="1" applyFont="1" applyBorder="1"/>
    <xf numFmtId="0" fontId="0" fillId="0" borderId="2" xfId="0" applyBorder="1"/>
    <xf numFmtId="168" fontId="8" fillId="0" borderId="2" xfId="0" applyNumberFormat="1" applyFont="1" applyBorder="1"/>
    <xf numFmtId="0" fontId="10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11" fillId="0" borderId="0" xfId="1" applyBorder="1"/>
    <xf numFmtId="1" fontId="0" fillId="0" borderId="0" xfId="0" quotePrefix="1" applyNumberFormat="1"/>
    <xf numFmtId="0" fontId="11" fillId="0" borderId="0" xfId="1"/>
  </cellXfs>
  <cellStyles count="2">
    <cellStyle name="Hyperlink" xfId="1" builtinId="8"/>
    <cellStyle name="Normal" xfId="0" builtinId="0"/>
  </cellStyles>
  <dxfs count="2">
    <dxf>
      <fill>
        <patternFill>
          <bgColor rgb="FFFDE9E7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Expense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Budget'!$E$6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'Monthly Budget'!$D$7:$D$14</c:f>
              <c:strCache>
                <c:ptCount val="8"/>
                <c:pt idx="0">
                  <c:v>Housing</c:v>
                </c:pt>
                <c:pt idx="1">
                  <c:v>Utilities</c:v>
                </c:pt>
                <c:pt idx="2">
                  <c:v>Groceries</c:v>
                </c:pt>
                <c:pt idx="3">
                  <c:v>Transport</c:v>
                </c:pt>
                <c:pt idx="4">
                  <c:v>Insurance</c:v>
                </c:pt>
                <c:pt idx="5">
                  <c:v>Debt</c:v>
                </c:pt>
                <c:pt idx="6">
                  <c:v>Entertainment</c:v>
                </c:pt>
                <c:pt idx="7">
                  <c:v>Miscellaneous</c:v>
                </c:pt>
              </c:strCache>
            </c:strRef>
          </c:cat>
          <c:val>
            <c:numRef>
              <c:f>'Monthly Budget'!$E$7:$E$14</c:f>
              <c:numCache>
                <c:formatCode>\$#,##0;[Red]\(\$#,##0\);\-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2-2F41-BA5F-0A25C97A0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Spend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'Weekly Tracker'!$H$12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'Weekly Tracker'!$G$13:$G$18</c:f>
              <c:strCache>
                <c:ptCount val="6"/>
                <c:pt idx="0">
                  <c:v>Housing</c:v>
                </c:pt>
                <c:pt idx="1">
                  <c:v>Food</c:v>
                </c:pt>
                <c:pt idx="2">
                  <c:v>Transport</c:v>
                </c:pt>
                <c:pt idx="3">
                  <c:v>Bills</c:v>
                </c:pt>
                <c:pt idx="4">
                  <c:v>Shopping</c:v>
                </c:pt>
                <c:pt idx="5">
                  <c:v>Other</c:v>
                </c:pt>
              </c:strCache>
            </c:strRef>
          </c:cat>
          <c:val>
            <c:numRef>
              <c:f>'Weekly Tracker'!$H$13:$H$18</c:f>
              <c:numCache>
                <c:formatCode>\$#,##0;[Red]\(\$#,##0\);\-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B-3049-8269-0F6AFC303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Progress by Goal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'Savings Goals'!$F$4</c:f>
              <c:strCache>
                <c:ptCount val="1"/>
                <c:pt idx="0">
                  <c:v>Progress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'Savings Goals'!$A$5:$A$8</c:f>
              <c:strCache>
                <c:ptCount val="4"/>
                <c:pt idx="0">
                  <c:v>Emergency Fund</c:v>
                </c:pt>
                <c:pt idx="1">
                  <c:v>Vacation</c:v>
                </c:pt>
                <c:pt idx="2">
                  <c:v>Laptop</c:v>
                </c:pt>
                <c:pt idx="3">
                  <c:v>Home Deposit</c:v>
                </c:pt>
              </c:strCache>
            </c:strRef>
          </c:cat>
          <c:val>
            <c:numRef>
              <c:f>'Savings Goals'!$F$5:$F$8</c:f>
              <c:numCache>
                <c:formatCode>0.0%</c:formatCode>
                <c:ptCount val="4"/>
                <c:pt idx="0">
                  <c:v>0.3</c:v>
                </c:pt>
                <c:pt idx="1">
                  <c:v>0.3</c:v>
                </c:pt>
                <c:pt idx="2">
                  <c:v>0.20833333333333334</c:v>
                </c:pt>
                <c:pt idx="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6-7A47-90A8-C540D0387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Debt Balances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'Debt Planner'!$B$4</c:f>
              <c:strCache>
                <c:ptCount val="1"/>
                <c:pt idx="0">
                  <c:v>Balance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'Debt Planner'!$A$5:$A$8</c:f>
              <c:strCache>
                <c:ptCount val="4"/>
                <c:pt idx="0">
                  <c:v>Credit Card 1</c:v>
                </c:pt>
                <c:pt idx="1">
                  <c:v>Student Loan</c:v>
                </c:pt>
                <c:pt idx="2">
                  <c:v>Car Loan</c:v>
                </c:pt>
                <c:pt idx="3">
                  <c:v>Store Card</c:v>
                </c:pt>
              </c:strCache>
            </c:strRef>
          </c:cat>
          <c:val>
            <c:numRef>
              <c:f>'Debt Planner'!$B$5:$B$8</c:f>
              <c:numCache>
                <c:formatCode>\$#,##0;[Red]\(\$#,##0\);\-</c:formatCode>
                <c:ptCount val="4"/>
                <c:pt idx="0">
                  <c:v>2500</c:v>
                </c:pt>
                <c:pt idx="1">
                  <c:v>7000</c:v>
                </c:pt>
                <c:pt idx="2">
                  <c:v>4500</c:v>
                </c:pt>
                <c:pt idx="3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0-2C4A-BA5D-02CB03252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Income vs Expenses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'Annual Overview'!$B$4:$M$4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Overview'!$B$5:$M$5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C-3E4B-B199-D8001D06B847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'Annual Overview'!$B$4:$M$4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'Annual Overview'!$B$6:$M$6</c:f>
              <c:numCache>
                <c:formatCode>\$#,##0;[Red]\(\$#,##0\);\-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7C-3E4B-B199-D8001D06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1041400</xdr:colOff>
      <xdr:row>4</xdr:row>
      <xdr:rowOff>88900</xdr:rowOff>
    </xdr:from>
    <xdr:to>
      <xdr:col>3</xdr:col>
      <xdr:colOff>597408</xdr:colOff>
      <xdr:row>9</xdr:row>
      <xdr:rowOff>119380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14FD4-0F6E-0B42-ABBD-18C8F37BAD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8" t="22628" r="8588" b="20111"/>
        <a:stretch/>
      </xdr:blipFill>
      <xdr:spPr>
        <a:xfrm>
          <a:off x="6197600" y="1003300"/>
          <a:ext cx="2299208" cy="9829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63500</xdr:rowOff>
    </xdr:from>
    <xdr:to>
      <xdr:col>5</xdr:col>
      <xdr:colOff>241300</xdr:colOff>
      <xdr:row>1</xdr:row>
      <xdr:rowOff>76200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3</xdr:row>
      <xdr:rowOff>25400</xdr:rowOff>
    </xdr:from>
    <xdr:to>
      <xdr:col>16</xdr:col>
      <xdr:colOff>571500</xdr:colOff>
      <xdr:row>17</xdr:row>
      <xdr:rowOff>139700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3</xdr:row>
      <xdr:rowOff>88900</xdr:rowOff>
    </xdr:from>
    <xdr:to>
      <xdr:col>18</xdr:col>
      <xdr:colOff>0</xdr:colOff>
      <xdr:row>10</xdr:row>
      <xdr:rowOff>88900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11</xdr:row>
      <xdr:rowOff>12700</xdr:rowOff>
    </xdr:from>
    <xdr:to>
      <xdr:col>14</xdr:col>
      <xdr:colOff>431800</xdr:colOff>
      <xdr:row>18</xdr:row>
      <xdr:rowOff>12700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linkedin.com/in/nunyaafari/" TargetMode="External"/><Relationship Id="rId1" Type="http://schemas.openxmlformats.org/officeDocument/2006/relationships/hyperlink" Target="mailto:afari.nuny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tabSelected="1" workbookViewId="0">
      <selection activeCell="A24" sqref="A24"/>
    </sheetView>
  </sheetViews>
  <sheetFormatPr baseColWidth="10" defaultColWidth="8.83203125" defaultRowHeight="15" x14ac:dyDescent="0.2"/>
  <cols>
    <col min="1" max="1" width="67.6640625" customWidth="1"/>
    <col min="2" max="6" width="18" customWidth="1"/>
  </cols>
  <sheetData>
    <row r="1" spans="1:6" ht="26" customHeight="1" x14ac:dyDescent="0.2">
      <c r="A1" s="23" t="s">
        <v>0</v>
      </c>
      <c r="B1" s="24"/>
      <c r="C1" s="24"/>
      <c r="D1" s="24"/>
      <c r="E1" s="24"/>
      <c r="F1" s="24"/>
    </row>
    <row r="3" spans="1:6" ht="16" x14ac:dyDescent="0.2">
      <c r="A3" s="1" t="s">
        <v>1</v>
      </c>
      <c r="C3" t="s">
        <v>103</v>
      </c>
      <c r="D3" s="25" t="s">
        <v>108</v>
      </c>
    </row>
    <row r="4" spans="1:6" x14ac:dyDescent="0.2">
      <c r="A4" t="s">
        <v>2</v>
      </c>
      <c r="C4" t="s">
        <v>104</v>
      </c>
      <c r="D4" s="26" t="s">
        <v>105</v>
      </c>
    </row>
    <row r="5" spans="1:6" x14ac:dyDescent="0.2">
      <c r="A5" t="s">
        <v>3</v>
      </c>
      <c r="C5" t="s">
        <v>106</v>
      </c>
      <c r="D5" s="27" t="s">
        <v>107</v>
      </c>
    </row>
    <row r="6" spans="1:6" x14ac:dyDescent="0.2">
      <c r="A6" t="s">
        <v>4</v>
      </c>
    </row>
    <row r="7" spans="1:6" x14ac:dyDescent="0.2">
      <c r="A7" t="s">
        <v>5</v>
      </c>
    </row>
    <row r="8" spans="1:6" x14ac:dyDescent="0.2">
      <c r="A8" t="s">
        <v>6</v>
      </c>
    </row>
    <row r="10" spans="1:6" ht="16" x14ac:dyDescent="0.2">
      <c r="A10" s="1" t="s">
        <v>7</v>
      </c>
    </row>
    <row r="11" spans="1:6" x14ac:dyDescent="0.2">
      <c r="A11" t="s">
        <v>8</v>
      </c>
    </row>
    <row r="12" spans="1:6" x14ac:dyDescent="0.2">
      <c r="A12" t="s">
        <v>9</v>
      </c>
    </row>
    <row r="13" spans="1:6" x14ac:dyDescent="0.2">
      <c r="A13" t="s">
        <v>10</v>
      </c>
    </row>
    <row r="14" spans="1:6" x14ac:dyDescent="0.2">
      <c r="A14" t="s">
        <v>11</v>
      </c>
    </row>
    <row r="17" spans="1:1" x14ac:dyDescent="0.2">
      <c r="A17" s="2"/>
    </row>
  </sheetData>
  <mergeCells count="1">
    <mergeCell ref="A1:F1"/>
  </mergeCells>
  <hyperlinks>
    <hyperlink ref="D3" r:id="rId1" xr:uid="{70EDE499-04BF-7D49-B191-43887CCB160B}"/>
    <hyperlink ref="D5" r:id="rId2" display="https://www.linkedin.com/in/nunyaafari/" xr:uid="{2AD8589D-4D1A-1349-8E33-58FB49AD663B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activeCell="C19" sqref="C19"/>
    </sheetView>
  </sheetViews>
  <sheetFormatPr baseColWidth="10" defaultColWidth="8.83203125" defaultRowHeight="15" x14ac:dyDescent="0.2"/>
  <cols>
    <col min="1" max="1" width="28" customWidth="1"/>
    <col min="2" max="8" width="16" customWidth="1"/>
  </cols>
  <sheetData>
    <row r="1" spans="1:8" ht="26" customHeight="1" x14ac:dyDescent="0.2">
      <c r="A1" s="23" t="s">
        <v>12</v>
      </c>
      <c r="B1" s="24"/>
      <c r="C1" s="24"/>
      <c r="D1" s="24"/>
      <c r="E1" s="24"/>
      <c r="F1" s="24"/>
      <c r="G1" s="24"/>
      <c r="H1" s="24"/>
    </row>
    <row r="3" spans="1:8" x14ac:dyDescent="0.2">
      <c r="A3" s="3" t="s">
        <v>13</v>
      </c>
      <c r="B3" s="4" t="s">
        <v>14</v>
      </c>
      <c r="D3" s="3" t="s">
        <v>15</v>
      </c>
      <c r="E3" s="5">
        <v>0</v>
      </c>
    </row>
    <row r="5" spans="1:8" x14ac:dyDescent="0.2">
      <c r="A5" s="6" t="s">
        <v>16</v>
      </c>
      <c r="D5" s="6" t="s">
        <v>17</v>
      </c>
      <c r="G5" s="6" t="s">
        <v>18</v>
      </c>
    </row>
    <row r="6" spans="1:8" x14ac:dyDescent="0.2">
      <c r="A6" s="7" t="s">
        <v>19</v>
      </c>
      <c r="B6" s="7" t="s">
        <v>20</v>
      </c>
      <c r="D6" s="7" t="s">
        <v>21</v>
      </c>
      <c r="E6" s="7" t="s">
        <v>20</v>
      </c>
      <c r="G6" s="7" t="s">
        <v>22</v>
      </c>
      <c r="H6" s="7" t="s">
        <v>23</v>
      </c>
    </row>
    <row r="7" spans="1:8" x14ac:dyDescent="0.2">
      <c r="A7" s="3" t="s">
        <v>24</v>
      </c>
      <c r="B7" s="5">
        <v>0</v>
      </c>
      <c r="D7" s="3" t="s">
        <v>25</v>
      </c>
      <c r="E7" s="5">
        <v>0</v>
      </c>
      <c r="G7" s="3" t="s">
        <v>26</v>
      </c>
      <c r="H7" s="8">
        <f>B11</f>
        <v>0</v>
      </c>
    </row>
    <row r="8" spans="1:8" x14ac:dyDescent="0.2">
      <c r="A8" s="3" t="s">
        <v>27</v>
      </c>
      <c r="B8" s="5">
        <v>0</v>
      </c>
      <c r="D8" s="3" t="s">
        <v>28</v>
      </c>
      <c r="E8" s="5">
        <v>0</v>
      </c>
      <c r="G8" s="3" t="s">
        <v>29</v>
      </c>
      <c r="H8" s="8">
        <f>E15</f>
        <v>0</v>
      </c>
    </row>
    <row r="9" spans="1:8" x14ac:dyDescent="0.2">
      <c r="A9" s="3" t="s">
        <v>30</v>
      </c>
      <c r="B9" s="5">
        <v>0</v>
      </c>
      <c r="D9" s="3" t="s">
        <v>31</v>
      </c>
      <c r="E9" s="5">
        <v>0</v>
      </c>
      <c r="G9" s="9" t="s">
        <v>32</v>
      </c>
      <c r="H9" s="10">
        <f>H7-H8</f>
        <v>0</v>
      </c>
    </row>
    <row r="10" spans="1:8" x14ac:dyDescent="0.2">
      <c r="A10" s="3" t="s">
        <v>33</v>
      </c>
      <c r="B10" s="5">
        <v>0</v>
      </c>
      <c r="D10" s="3" t="s">
        <v>34</v>
      </c>
      <c r="E10" s="5">
        <v>0</v>
      </c>
      <c r="G10" s="9" t="s">
        <v>35</v>
      </c>
      <c r="H10" s="10">
        <f>E3+H9</f>
        <v>0</v>
      </c>
    </row>
    <row r="11" spans="1:8" x14ac:dyDescent="0.2">
      <c r="A11" s="11" t="s">
        <v>26</v>
      </c>
      <c r="B11" s="12">
        <f>SUM(B7:B10)</f>
        <v>0</v>
      </c>
      <c r="D11" s="3" t="s">
        <v>36</v>
      </c>
      <c r="E11" s="5">
        <v>0</v>
      </c>
    </row>
    <row r="12" spans="1:8" x14ac:dyDescent="0.2">
      <c r="D12" s="3" t="s">
        <v>37</v>
      </c>
      <c r="E12" s="5">
        <v>0</v>
      </c>
    </row>
    <row r="13" spans="1:8" x14ac:dyDescent="0.2">
      <c r="D13" s="3" t="s">
        <v>38</v>
      </c>
      <c r="E13" s="5">
        <v>0</v>
      </c>
    </row>
    <row r="14" spans="1:8" x14ac:dyDescent="0.2">
      <c r="D14" s="3" t="s">
        <v>39</v>
      </c>
      <c r="E14" s="5">
        <v>0</v>
      </c>
    </row>
    <row r="15" spans="1:8" x14ac:dyDescent="0.2">
      <c r="D15" s="11" t="s">
        <v>29</v>
      </c>
      <c r="E15" s="12">
        <f>SUM(E7:E14)</f>
        <v>0</v>
      </c>
    </row>
  </sheetData>
  <mergeCells count="1">
    <mergeCell ref="A1:H1"/>
  </mergeCells>
  <conditionalFormatting sqref="H9:H10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workbookViewId="0">
      <selection activeCell="H23" sqref="H23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3" width="24" customWidth="1"/>
    <col min="4" max="5" width="16" customWidth="1"/>
    <col min="6" max="6" width="11.5" customWidth="1"/>
    <col min="7" max="8" width="18" customWidth="1"/>
  </cols>
  <sheetData>
    <row r="1" spans="1:8" ht="26" customHeight="1" x14ac:dyDescent="0.2">
      <c r="A1" s="23" t="s">
        <v>40</v>
      </c>
      <c r="B1" s="24"/>
      <c r="C1" s="24"/>
      <c r="D1" s="24"/>
      <c r="E1" s="24"/>
      <c r="F1" s="24"/>
      <c r="G1" s="24"/>
      <c r="H1" s="24"/>
    </row>
    <row r="3" spans="1:8" x14ac:dyDescent="0.2">
      <c r="A3" s="3" t="s">
        <v>41</v>
      </c>
      <c r="B3" s="13" t="s">
        <v>42</v>
      </c>
      <c r="C3" s="3" t="s">
        <v>43</v>
      </c>
      <c r="D3" s="5">
        <v>500</v>
      </c>
    </row>
    <row r="5" spans="1:8" x14ac:dyDescent="0.2">
      <c r="A5" s="7" t="s">
        <v>44</v>
      </c>
      <c r="B5" s="7" t="s">
        <v>21</v>
      </c>
      <c r="C5" s="7" t="s">
        <v>45</v>
      </c>
      <c r="D5" s="7" t="s">
        <v>46</v>
      </c>
      <c r="E5" s="7" t="s">
        <v>20</v>
      </c>
      <c r="G5" s="6" t="s">
        <v>47</v>
      </c>
    </row>
    <row r="6" spans="1:8" x14ac:dyDescent="0.2">
      <c r="A6" s="14"/>
      <c r="B6" s="4"/>
      <c r="C6" s="4"/>
      <c r="D6" s="4"/>
      <c r="E6" s="5">
        <v>0</v>
      </c>
      <c r="G6" s="7" t="s">
        <v>22</v>
      </c>
      <c r="H6" s="7" t="s">
        <v>23</v>
      </c>
    </row>
    <row r="7" spans="1:8" x14ac:dyDescent="0.2">
      <c r="A7" s="14"/>
      <c r="B7" s="4"/>
      <c r="C7" s="4"/>
      <c r="D7" s="4"/>
      <c r="E7" s="5">
        <v>0</v>
      </c>
      <c r="G7" s="3" t="s">
        <v>48</v>
      </c>
      <c r="H7" s="8">
        <f>SUM(E6:E20)</f>
        <v>0</v>
      </c>
    </row>
    <row r="8" spans="1:8" x14ac:dyDescent="0.2">
      <c r="A8" s="14"/>
      <c r="B8" s="4"/>
      <c r="C8" s="4"/>
      <c r="D8" s="4"/>
      <c r="E8" s="5">
        <v>0</v>
      </c>
      <c r="G8" s="3" t="s">
        <v>43</v>
      </c>
      <c r="H8" s="8">
        <f>D3</f>
        <v>500</v>
      </c>
    </row>
    <row r="9" spans="1:8" x14ac:dyDescent="0.2">
      <c r="A9" s="14"/>
      <c r="B9" s="4"/>
      <c r="C9" s="4"/>
      <c r="D9" s="4"/>
      <c r="E9" s="5">
        <v>0</v>
      </c>
      <c r="G9" s="3" t="s">
        <v>49</v>
      </c>
      <c r="H9" s="8">
        <f>H8-H7</f>
        <v>500</v>
      </c>
    </row>
    <row r="10" spans="1:8" x14ac:dyDescent="0.2">
      <c r="A10" s="14"/>
      <c r="B10" s="4"/>
      <c r="C10" s="4"/>
      <c r="D10" s="4"/>
      <c r="E10" s="5">
        <v>0</v>
      </c>
      <c r="G10" s="3" t="s">
        <v>50</v>
      </c>
      <c r="H10" s="8">
        <f>MAX(E6:E20)</f>
        <v>0</v>
      </c>
    </row>
    <row r="11" spans="1:8" x14ac:dyDescent="0.2">
      <c r="A11" s="14"/>
      <c r="B11" s="4"/>
      <c r="C11" s="4"/>
      <c r="D11" s="4"/>
      <c r="E11" s="5">
        <v>0</v>
      </c>
    </row>
    <row r="12" spans="1:8" x14ac:dyDescent="0.2">
      <c r="A12" s="14"/>
      <c r="B12" s="4"/>
      <c r="C12" s="4"/>
      <c r="D12" s="4"/>
      <c r="E12" s="5">
        <v>0</v>
      </c>
      <c r="G12" s="15" t="s">
        <v>21</v>
      </c>
      <c r="H12" s="15" t="s">
        <v>51</v>
      </c>
    </row>
    <row r="13" spans="1:8" x14ac:dyDescent="0.2">
      <c r="A13" s="14"/>
      <c r="B13" s="4"/>
      <c r="C13" s="4"/>
      <c r="D13" s="4"/>
      <c r="E13" s="5">
        <v>0</v>
      </c>
      <c r="G13" s="3" t="s">
        <v>25</v>
      </c>
      <c r="H13" s="8">
        <f>SUMIF(B6:B20,G13,E6:E20)</f>
        <v>0</v>
      </c>
    </row>
    <row r="14" spans="1:8" x14ac:dyDescent="0.2">
      <c r="A14" s="14"/>
      <c r="B14" s="4"/>
      <c r="C14" s="4"/>
      <c r="D14" s="4"/>
      <c r="E14" s="5">
        <v>0</v>
      </c>
      <c r="G14" s="3" t="s">
        <v>52</v>
      </c>
      <c r="H14" s="8">
        <f>SUMIF(B6:B20,G14,E6:E20)</f>
        <v>0</v>
      </c>
    </row>
    <row r="15" spans="1:8" x14ac:dyDescent="0.2">
      <c r="A15" s="14"/>
      <c r="B15" s="4"/>
      <c r="C15" s="4"/>
      <c r="D15" s="4"/>
      <c r="E15" s="5">
        <v>0</v>
      </c>
      <c r="G15" s="3" t="s">
        <v>34</v>
      </c>
      <c r="H15" s="8">
        <f>SUMIF(B6:B20,G15,E6:E20)</f>
        <v>0</v>
      </c>
    </row>
    <row r="16" spans="1:8" x14ac:dyDescent="0.2">
      <c r="A16" s="14"/>
      <c r="B16" s="4"/>
      <c r="C16" s="4"/>
      <c r="D16" s="4"/>
      <c r="E16" s="5">
        <v>0</v>
      </c>
      <c r="G16" s="3" t="s">
        <v>53</v>
      </c>
      <c r="H16" s="8">
        <f>SUMIF(B6:B20,G16,E6:E20)</f>
        <v>0</v>
      </c>
    </row>
    <row r="17" spans="1:8" x14ac:dyDescent="0.2">
      <c r="A17" s="14"/>
      <c r="B17" s="4"/>
      <c r="C17" s="4"/>
      <c r="D17" s="4"/>
      <c r="E17" s="5">
        <v>0</v>
      </c>
      <c r="G17" s="3" t="s">
        <v>54</v>
      </c>
      <c r="H17" s="8">
        <f>SUMIF(B6:B20,G17,E6:E20)</f>
        <v>0</v>
      </c>
    </row>
    <row r="18" spans="1:8" x14ac:dyDescent="0.2">
      <c r="A18" s="14"/>
      <c r="B18" s="4"/>
      <c r="C18" s="4"/>
      <c r="D18" s="4"/>
      <c r="E18" s="5">
        <v>0</v>
      </c>
      <c r="G18" s="3" t="s">
        <v>33</v>
      </c>
      <c r="H18" s="8">
        <f>SUMIF(B6:B20,G18,E6:E20)</f>
        <v>0</v>
      </c>
    </row>
    <row r="19" spans="1:8" x14ac:dyDescent="0.2">
      <c r="A19" s="14"/>
      <c r="B19" s="4"/>
      <c r="C19" s="4"/>
      <c r="D19" s="4"/>
      <c r="E19" s="5">
        <v>0</v>
      </c>
    </row>
    <row r="20" spans="1:8" x14ac:dyDescent="0.2">
      <c r="A20" s="14"/>
      <c r="B20" s="4"/>
      <c r="C20" s="4"/>
      <c r="D20" s="4"/>
      <c r="E20" s="5">
        <v>0</v>
      </c>
    </row>
  </sheetData>
  <mergeCells count="1">
    <mergeCell ref="A1:H1"/>
  </mergeCells>
  <conditionalFormatting sqref="H9">
    <cfRule type="cellIs" dxfId="0" priority="1" operator="less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Lists!$A$1:$A$6</xm:f>
          </x14:formula1>
          <xm:sqref>B6:B20</xm:sqref>
        </x14:dataValidation>
        <x14:dataValidation type="list" allowBlank="1" xr:uid="{00000000-0002-0000-0200-000001000000}">
          <x14:formula1>
            <xm:f>Lists!$B$1:$B$4</xm:f>
          </x14:formula1>
          <xm:sqref>D6:D20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showGridLines="0" workbookViewId="0">
      <selection activeCell="G5" sqref="G5"/>
    </sheetView>
  </sheetViews>
  <sheetFormatPr baseColWidth="10" defaultColWidth="8.83203125" defaultRowHeight="15" x14ac:dyDescent="0.2"/>
  <cols>
    <col min="1" max="1" width="24" customWidth="1"/>
    <col min="2" max="5" width="16" customWidth="1"/>
    <col min="6" max="6" width="14" customWidth="1"/>
    <col min="7" max="7" width="16" customWidth="1"/>
  </cols>
  <sheetData>
    <row r="1" spans="1:7" ht="26" customHeight="1" x14ac:dyDescent="0.2">
      <c r="A1" s="23" t="s">
        <v>55</v>
      </c>
      <c r="B1" s="24"/>
      <c r="C1" s="24"/>
      <c r="D1" s="24"/>
      <c r="E1" s="24"/>
      <c r="F1" s="24"/>
      <c r="G1" s="24"/>
    </row>
    <row r="4" spans="1:7" x14ac:dyDescent="0.2">
      <c r="A4" s="7" t="s">
        <v>56</v>
      </c>
      <c r="B4" s="7" t="s">
        <v>57</v>
      </c>
      <c r="C4" s="7" t="s">
        <v>58</v>
      </c>
      <c r="D4" s="7" t="s">
        <v>49</v>
      </c>
      <c r="E4" s="7" t="s">
        <v>59</v>
      </c>
      <c r="F4" s="7" t="s">
        <v>60</v>
      </c>
      <c r="G4" s="7" t="s">
        <v>61</v>
      </c>
    </row>
    <row r="5" spans="1:7" x14ac:dyDescent="0.2">
      <c r="A5" s="3" t="s">
        <v>62</v>
      </c>
      <c r="B5" s="5">
        <v>1000</v>
      </c>
      <c r="C5" s="5">
        <v>300</v>
      </c>
      <c r="D5" s="8">
        <f>MAX(B5-C5,0)</f>
        <v>700</v>
      </c>
      <c r="E5" s="13" t="s">
        <v>63</v>
      </c>
      <c r="F5" s="16">
        <f>IFERROR(C5/B5,0)</f>
        <v>0.3</v>
      </c>
      <c r="G5" s="8">
        <f ca="1">IFERROR(D5/MAX(DATEDIF(TODAY(),E5,"m"),1),0)</f>
        <v>77.777777777777771</v>
      </c>
    </row>
    <row r="6" spans="1:7" x14ac:dyDescent="0.2">
      <c r="A6" s="3" t="s">
        <v>64</v>
      </c>
      <c r="B6" s="5">
        <v>1500</v>
      </c>
      <c r="C6" s="5">
        <v>450</v>
      </c>
      <c r="D6" s="8">
        <f>MAX(B6-C6,0)</f>
        <v>1050</v>
      </c>
      <c r="E6" s="13" t="s">
        <v>65</v>
      </c>
      <c r="F6" s="16">
        <f>IFERROR(C6/B6,0)</f>
        <v>0.3</v>
      </c>
      <c r="G6" s="8">
        <f ca="1">IFERROR(D6/MAX(DATEDIF(TODAY(),E6,"m"),1),0)</f>
        <v>175</v>
      </c>
    </row>
    <row r="7" spans="1:7" x14ac:dyDescent="0.2">
      <c r="A7" s="3" t="s">
        <v>66</v>
      </c>
      <c r="B7" s="5">
        <v>1200</v>
      </c>
      <c r="C7" s="5">
        <v>250</v>
      </c>
      <c r="D7" s="8">
        <f>MAX(B7-C7,0)</f>
        <v>950</v>
      </c>
      <c r="E7" s="13" t="s">
        <v>67</v>
      </c>
      <c r="F7" s="16">
        <f>IFERROR(C7/B7,0)</f>
        <v>0.20833333333333334</v>
      </c>
      <c r="G7" s="8">
        <f ca="1">IFERROR(D7/MAX(DATEDIF(TODAY(),E7,"m"),1),0)</f>
        <v>190</v>
      </c>
    </row>
    <row r="8" spans="1:7" x14ac:dyDescent="0.2">
      <c r="A8" s="3" t="s">
        <v>68</v>
      </c>
      <c r="B8" s="5">
        <v>5000</v>
      </c>
      <c r="C8" s="5">
        <v>1000</v>
      </c>
      <c r="D8" s="8">
        <f>MAX(B8-C8,0)</f>
        <v>4000</v>
      </c>
      <c r="E8" s="13" t="s">
        <v>69</v>
      </c>
      <c r="F8" s="16">
        <f>IFERROR(C8/B8,0)</f>
        <v>0.2</v>
      </c>
      <c r="G8" s="8">
        <f ca="1">IFERROR(D8/MAX(DATEDIF(TODAY(),E8,"m"),1),0)</f>
        <v>266.66666666666669</v>
      </c>
    </row>
  </sheetData>
  <mergeCells count="1">
    <mergeCell ref="A1:G1"/>
  </mergeCells>
  <conditionalFormatting sqref="F5:F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>
      <selection activeCell="F5" sqref="F5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2" customWidth="1"/>
    <col min="4" max="4" width="16" customWidth="1"/>
    <col min="5" max="5" width="14" customWidth="1"/>
    <col min="6" max="6" width="16" customWidth="1"/>
    <col min="7" max="8" width="18" customWidth="1"/>
  </cols>
  <sheetData>
    <row r="1" spans="1:8" ht="26" customHeight="1" x14ac:dyDescent="0.2">
      <c r="A1" s="23" t="s">
        <v>70</v>
      </c>
      <c r="B1" s="24"/>
      <c r="C1" s="24"/>
      <c r="D1" s="24"/>
      <c r="E1" s="24"/>
      <c r="F1" s="24"/>
      <c r="G1" s="24"/>
      <c r="H1" s="24"/>
    </row>
    <row r="4" spans="1:8" x14ac:dyDescent="0.2">
      <c r="A4" s="7" t="s">
        <v>71</v>
      </c>
      <c r="B4" s="7" t="s">
        <v>72</v>
      </c>
      <c r="C4" s="7" t="s">
        <v>73</v>
      </c>
      <c r="D4" s="7" t="s">
        <v>74</v>
      </c>
      <c r="E4" s="7" t="s">
        <v>75</v>
      </c>
      <c r="F4" s="7" t="s">
        <v>76</v>
      </c>
      <c r="G4" s="7" t="s">
        <v>77</v>
      </c>
      <c r="H4" s="7" t="s">
        <v>78</v>
      </c>
    </row>
    <row r="5" spans="1:8" x14ac:dyDescent="0.2">
      <c r="A5" s="3" t="s">
        <v>79</v>
      </c>
      <c r="B5" s="5">
        <v>2500</v>
      </c>
      <c r="C5" s="17">
        <v>0.24</v>
      </c>
      <c r="D5" s="5">
        <v>120</v>
      </c>
      <c r="E5" s="5">
        <v>30</v>
      </c>
      <c r="F5" s="8">
        <f>D5+E5</f>
        <v>150</v>
      </c>
      <c r="G5" s="18">
        <f>IFERROR(NPER(C5/12,-F5,B5),0)</f>
        <v>20.475318857633887</v>
      </c>
      <c r="H5" s="8">
        <f>B5*(C5/12)</f>
        <v>50</v>
      </c>
    </row>
    <row r="6" spans="1:8" x14ac:dyDescent="0.2">
      <c r="A6" s="3" t="s">
        <v>80</v>
      </c>
      <c r="B6" s="5">
        <v>7000</v>
      </c>
      <c r="C6" s="17">
        <v>0.08</v>
      </c>
      <c r="D6" s="5">
        <v>160</v>
      </c>
      <c r="E6" s="5">
        <v>40</v>
      </c>
      <c r="F6" s="8">
        <f>D6+E6</f>
        <v>200</v>
      </c>
      <c r="G6" s="18">
        <f>IFERROR(NPER(C6/12,-F6,B6),0)</f>
        <v>39.98817931992312</v>
      </c>
      <c r="H6" s="8">
        <f>B6*(C6/12)</f>
        <v>46.666666666666671</v>
      </c>
    </row>
    <row r="7" spans="1:8" x14ac:dyDescent="0.2">
      <c r="A7" s="3" t="s">
        <v>81</v>
      </c>
      <c r="B7" s="5">
        <v>4500</v>
      </c>
      <c r="C7" s="17">
        <v>0.11</v>
      </c>
      <c r="D7" s="5">
        <v>210</v>
      </c>
      <c r="E7" s="5">
        <v>25</v>
      </c>
      <c r="F7" s="8">
        <f>D7+E7</f>
        <v>235</v>
      </c>
      <c r="G7" s="18">
        <f>IFERROR(NPER(C7/12,-F7,B7),0)</f>
        <v>21.152744841674068</v>
      </c>
      <c r="H7" s="8">
        <f>B7*(C7/12)</f>
        <v>41.25</v>
      </c>
    </row>
    <row r="8" spans="1:8" x14ac:dyDescent="0.2">
      <c r="A8" s="3" t="s">
        <v>82</v>
      </c>
      <c r="B8" s="5">
        <v>900</v>
      </c>
      <c r="C8" s="17">
        <v>0.28999999999999998</v>
      </c>
      <c r="D8" s="5">
        <v>60</v>
      </c>
      <c r="E8" s="5">
        <v>20</v>
      </c>
      <c r="F8" s="8">
        <f>D8+E8</f>
        <v>80</v>
      </c>
      <c r="G8" s="18">
        <f>IFERROR(NPER(C8/12,-F8,B8),0)</f>
        <v>13.286942685907665</v>
      </c>
      <c r="H8" s="8">
        <f>B8*(C8/12)</f>
        <v>21.75</v>
      </c>
    </row>
    <row r="10" spans="1:8" x14ac:dyDescent="0.2">
      <c r="A10" s="11" t="s">
        <v>51</v>
      </c>
      <c r="B10" s="19">
        <f>SUM(B5:B8)</f>
        <v>14900</v>
      </c>
      <c r="C10" s="20"/>
      <c r="D10" s="19">
        <f>SUM(D5:D8)</f>
        <v>550</v>
      </c>
      <c r="E10" s="19">
        <f>SUM(E5:E8)</f>
        <v>115</v>
      </c>
      <c r="F10" s="19">
        <f>SUM(F5:F8)</f>
        <v>665</v>
      </c>
      <c r="G10" s="21">
        <f>SUM(G5:G8)</f>
        <v>94.903185705138739</v>
      </c>
      <c r="H10" s="19">
        <f>SUM(H5:H8)</f>
        <v>159.66666666666669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showGridLines="0" workbookViewId="0">
      <selection activeCell="B10" sqref="B10"/>
    </sheetView>
  </sheetViews>
  <sheetFormatPr baseColWidth="10" defaultColWidth="8.83203125" defaultRowHeight="15" x14ac:dyDescent="0.2"/>
  <cols>
    <col min="1" max="1" width="20" customWidth="1"/>
    <col min="2" max="13" width="12" customWidth="1"/>
    <col min="14" max="14" width="14" customWidth="1"/>
  </cols>
  <sheetData>
    <row r="1" spans="1:14" ht="26" customHeight="1" x14ac:dyDescent="0.2">
      <c r="A1" s="23" t="s">
        <v>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4" spans="1:14" x14ac:dyDescent="0.2">
      <c r="A4" s="7" t="s">
        <v>22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  <c r="K4" s="7" t="s">
        <v>93</v>
      </c>
      <c r="L4" s="7" t="s">
        <v>94</v>
      </c>
      <c r="M4" s="7" t="s">
        <v>95</v>
      </c>
      <c r="N4" s="15" t="s">
        <v>96</v>
      </c>
    </row>
    <row r="5" spans="1:14" x14ac:dyDescent="0.2">
      <c r="A5" s="22" t="s">
        <v>16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10">
        <f>SUM(B5:M5)</f>
        <v>0</v>
      </c>
    </row>
    <row r="6" spans="1:14" x14ac:dyDescent="0.2">
      <c r="A6" s="22" t="s">
        <v>17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10">
        <f>SUM(B6:M6)</f>
        <v>0</v>
      </c>
    </row>
    <row r="7" spans="1:14" x14ac:dyDescent="0.2">
      <c r="A7" s="22" t="s">
        <v>97</v>
      </c>
      <c r="B7" s="8">
        <f t="shared" ref="B7:M7" si="0">B5-B6</f>
        <v>0</v>
      </c>
      <c r="C7" s="8">
        <f t="shared" si="0"/>
        <v>0</v>
      </c>
      <c r="D7" s="8">
        <f t="shared" si="0"/>
        <v>0</v>
      </c>
      <c r="E7" s="8">
        <f t="shared" si="0"/>
        <v>0</v>
      </c>
      <c r="F7" s="8">
        <f t="shared" si="0"/>
        <v>0</v>
      </c>
      <c r="G7" s="8">
        <f t="shared" si="0"/>
        <v>0</v>
      </c>
      <c r="H7" s="8">
        <f t="shared" si="0"/>
        <v>0</v>
      </c>
      <c r="I7" s="8">
        <f t="shared" si="0"/>
        <v>0</v>
      </c>
      <c r="J7" s="8">
        <f t="shared" si="0"/>
        <v>0</v>
      </c>
      <c r="K7" s="8">
        <f t="shared" si="0"/>
        <v>0</v>
      </c>
      <c r="L7" s="8">
        <f t="shared" si="0"/>
        <v>0</v>
      </c>
      <c r="M7" s="8">
        <f t="shared" si="0"/>
        <v>0</v>
      </c>
      <c r="N7" s="10">
        <f>SUM(B7:M7)</f>
        <v>0</v>
      </c>
    </row>
    <row r="8" spans="1:14" x14ac:dyDescent="0.2">
      <c r="A8" s="9" t="s">
        <v>98</v>
      </c>
      <c r="B8" s="8">
        <f t="shared" ref="B8:M8" si="1">B7</f>
        <v>0</v>
      </c>
      <c r="C8" s="8">
        <f t="shared" si="1"/>
        <v>0</v>
      </c>
      <c r="D8" s="8">
        <f t="shared" si="1"/>
        <v>0</v>
      </c>
      <c r="E8" s="8">
        <f t="shared" si="1"/>
        <v>0</v>
      </c>
      <c r="F8" s="8">
        <f t="shared" si="1"/>
        <v>0</v>
      </c>
      <c r="G8" s="8">
        <f t="shared" si="1"/>
        <v>0</v>
      </c>
      <c r="H8" s="8">
        <f t="shared" si="1"/>
        <v>0</v>
      </c>
      <c r="I8" s="8">
        <f t="shared" si="1"/>
        <v>0</v>
      </c>
      <c r="J8" s="8">
        <f t="shared" si="1"/>
        <v>0</v>
      </c>
      <c r="K8" s="8">
        <f t="shared" si="1"/>
        <v>0</v>
      </c>
      <c r="L8" s="8">
        <f t="shared" si="1"/>
        <v>0</v>
      </c>
      <c r="M8" s="8">
        <f t="shared" si="1"/>
        <v>0</v>
      </c>
      <c r="N8" s="10">
        <f>SUM(B8:M8)</f>
        <v>0</v>
      </c>
    </row>
  </sheetData>
  <mergeCells count="1">
    <mergeCell ref="A1:N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sheetData>
    <row r="1" spans="1:2" x14ac:dyDescent="0.2">
      <c r="A1" t="s">
        <v>25</v>
      </c>
      <c r="B1" t="s">
        <v>99</v>
      </c>
    </row>
    <row r="2" spans="1:2" x14ac:dyDescent="0.2">
      <c r="A2" t="s">
        <v>52</v>
      </c>
      <c r="B2" t="s">
        <v>100</v>
      </c>
    </row>
    <row r="3" spans="1:2" x14ac:dyDescent="0.2">
      <c r="A3" t="s">
        <v>34</v>
      </c>
      <c r="B3" t="s">
        <v>101</v>
      </c>
    </row>
    <row r="4" spans="1:2" x14ac:dyDescent="0.2">
      <c r="A4" t="s">
        <v>53</v>
      </c>
      <c r="B4" t="s">
        <v>102</v>
      </c>
    </row>
    <row r="5" spans="1:2" x14ac:dyDescent="0.2">
      <c r="A5" t="s">
        <v>54</v>
      </c>
    </row>
    <row r="6" spans="1:2" x14ac:dyDescent="0.2">
      <c r="A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Monthly Budget</vt:lpstr>
      <vt:lpstr>Weekly Tracker</vt:lpstr>
      <vt:lpstr>Savings Goals</vt:lpstr>
      <vt:lpstr>Debt Planner</vt:lpstr>
      <vt:lpstr>Annual Overview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Kwame Nunya Afari</cp:lastModifiedBy>
  <dcterms:created xsi:type="dcterms:W3CDTF">2026-03-29T15:34:51Z</dcterms:created>
  <dcterms:modified xsi:type="dcterms:W3CDTF">2026-03-29T15:52:55Z</dcterms:modified>
</cp:coreProperties>
</file>